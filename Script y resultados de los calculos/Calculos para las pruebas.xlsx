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Desktop\INVESIGACION\"/>
    </mc:Choice>
  </mc:AlternateContent>
  <xr:revisionPtr revIDLastSave="0" documentId="13_ncr:1_{5870CD59-972F-49D3-9CCC-31AE69EA96E0}" xr6:coauthVersionLast="47" xr6:coauthVersionMax="47" xr10:uidLastSave="{00000000-0000-0000-0000-000000000000}"/>
  <bookViews>
    <workbookView xWindow="4980" yWindow="4980" windowWidth="10440" windowHeight="6792" xr2:uid="{E46400C0-92A2-42B0-A00A-D05E895BE6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1" l="1"/>
  <c r="E11" i="1"/>
  <c r="F11" i="1"/>
  <c r="C11" i="1"/>
  <c r="D10" i="1"/>
  <c r="E10" i="1"/>
  <c r="F10" i="1"/>
  <c r="C10" i="1"/>
  <c r="D9" i="1"/>
  <c r="E9" i="1"/>
  <c r="F9" i="1"/>
  <c r="C9" i="1"/>
  <c r="C17" i="1"/>
  <c r="C18" i="1" s="1"/>
  <c r="C19" i="1" s="1"/>
</calcChain>
</file>

<file path=xl/sharedStrings.xml><?xml version="1.0" encoding="utf-8"?>
<sst xmlns="http://schemas.openxmlformats.org/spreadsheetml/2006/main" count="21" uniqueCount="16">
  <si>
    <t>Verdadero Positivo (VP)</t>
  </si>
  <si>
    <t>Verdadero Negativo (VN)</t>
  </si>
  <si>
    <t>Falso Positivo (FP)</t>
  </si>
  <si>
    <t>Falso Negativo (FN)</t>
  </si>
  <si>
    <t>Campo</t>
  </si>
  <si>
    <t>Claude Opus 4.1</t>
  </si>
  <si>
    <t>GPT-5</t>
  </si>
  <si>
    <t>Gemini 2.5 Pro</t>
  </si>
  <si>
    <t>DeepSeek-V3</t>
  </si>
  <si>
    <t>Exactitud (%)</t>
  </si>
  <si>
    <t>Sensibilidad (%)</t>
  </si>
  <si>
    <t>Especificidad (%)</t>
  </si>
  <si>
    <t>Tiempo (seg)</t>
  </si>
  <si>
    <t>Desviación Estándar</t>
  </si>
  <si>
    <t>Coeficiente Variación</t>
  </si>
  <si>
    <t>Tiempo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</si>
</sst>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1713-F55C-4201-A158-5B5FB69EC135}">
  <dimension ref="B1:F19"/>
  <sheetViews>
    <sheetView tabSelected="1" topLeftCell="B1" workbookViewId="0">
      <selection activeCell="C17" sqref="C17:F19"/>
    </sheetView>
  </sheetViews>
  <sheetFormatPr baseColWidth="10" defaultRowHeight="14.4" x14ac:dyDescent="0.3"/>
  <cols>
    <col min="2" max="2" width="27.33203125" customWidth="1"/>
    <col min="3" max="3" width="11.5546875" customWidth="1"/>
  </cols>
  <sheetData>
    <row r="1" spans="2:6" ht="15" thickBot="1" x14ac:dyDescent="0.35"/>
    <row r="2" spans="2:6" ht="16.2" thickBot="1" x14ac:dyDescent="0.35">
      <c r="B2" s="1" t="s">
        <v>0</v>
      </c>
      <c r="C2" s="16">
        <v>1</v>
      </c>
      <c r="D2" s="2">
        <v>0</v>
      </c>
      <c r="E2" s="2">
        <v>1</v>
      </c>
      <c r="F2" s="2">
        <v>1</v>
      </c>
    </row>
    <row r="3" spans="2:6" ht="16.2" thickBot="1" x14ac:dyDescent="0.35">
      <c r="B3" s="3" t="s">
        <v>1</v>
      </c>
      <c r="C3" s="7">
        <v>0</v>
      </c>
      <c r="D3" s="4">
        <v>1</v>
      </c>
      <c r="E3" s="4">
        <v>0</v>
      </c>
      <c r="F3" s="4">
        <v>0</v>
      </c>
    </row>
    <row r="4" spans="2:6" ht="16.2" thickBot="1" x14ac:dyDescent="0.35">
      <c r="B4" s="3" t="s">
        <v>2</v>
      </c>
      <c r="C4" s="7">
        <v>0</v>
      </c>
      <c r="D4" s="4">
        <v>0</v>
      </c>
      <c r="E4" s="4">
        <v>0</v>
      </c>
      <c r="F4" s="4">
        <v>0</v>
      </c>
    </row>
    <row r="5" spans="2:6" ht="16.2" thickBot="1" x14ac:dyDescent="0.35">
      <c r="B5" s="3" t="s">
        <v>3</v>
      </c>
      <c r="C5" s="7">
        <v>0</v>
      </c>
      <c r="D5" s="4">
        <v>0</v>
      </c>
      <c r="E5" s="4">
        <v>0</v>
      </c>
      <c r="F5" s="4">
        <v>0</v>
      </c>
    </row>
    <row r="7" spans="2:6" ht="15" thickBot="1" x14ac:dyDescent="0.35"/>
    <row r="8" spans="2:6" ht="31.8" thickBot="1" x14ac:dyDescent="0.35">
      <c r="B8" s="5" t="s">
        <v>4</v>
      </c>
      <c r="C8" s="6" t="s">
        <v>5</v>
      </c>
      <c r="D8" s="6" t="s">
        <v>6</v>
      </c>
      <c r="E8" s="6" t="s">
        <v>7</v>
      </c>
      <c r="F8" s="6" t="s">
        <v>8</v>
      </c>
    </row>
    <row r="9" spans="2:6" ht="16.2" thickBot="1" x14ac:dyDescent="0.35">
      <c r="B9" s="7" t="s">
        <v>9</v>
      </c>
      <c r="C9" s="12">
        <f>IFERROR((C2+C3)/(C2+C3+C4+C5) * 100,"N/A")</f>
        <v>100</v>
      </c>
      <c r="D9" s="12">
        <f t="shared" ref="D9:F9" si="0">IFERROR((D2+D3)/(D2+D3+D4+D5) * 100,"N/A")</f>
        <v>100</v>
      </c>
      <c r="E9" s="12">
        <f t="shared" si="0"/>
        <v>100</v>
      </c>
      <c r="F9" s="12">
        <f t="shared" si="0"/>
        <v>100</v>
      </c>
    </row>
    <row r="10" spans="2:6" ht="16.2" thickBot="1" x14ac:dyDescent="0.35">
      <c r="B10" s="7" t="s">
        <v>10</v>
      </c>
      <c r="C10" s="12">
        <f>IFERROR(C2/(C2+C5) *100,"N/A")</f>
        <v>100</v>
      </c>
      <c r="D10" s="12" t="str">
        <f t="shared" ref="D10:F10" si="1">IFERROR(D2/(D2+D5) *100,"N/A")</f>
        <v>N/A</v>
      </c>
      <c r="E10" s="12">
        <f t="shared" si="1"/>
        <v>100</v>
      </c>
      <c r="F10" s="12">
        <f t="shared" si="1"/>
        <v>100</v>
      </c>
    </row>
    <row r="11" spans="2:6" ht="16.2" thickBot="1" x14ac:dyDescent="0.35">
      <c r="B11" s="7" t="s">
        <v>11</v>
      </c>
      <c r="C11" s="12" t="str">
        <f>IFERROR((C3)/(C3+C4)*100,"N/A")</f>
        <v>N/A</v>
      </c>
      <c r="D11" s="12">
        <f t="shared" ref="D11:F11" si="2">IFERROR((D3)/(D3+D4)*100,"N/A")</f>
        <v>100</v>
      </c>
      <c r="E11" s="12" t="str">
        <f t="shared" si="2"/>
        <v>N/A</v>
      </c>
      <c r="F11" s="12" t="str">
        <f t="shared" si="2"/>
        <v>N/A</v>
      </c>
    </row>
    <row r="12" spans="2:6" ht="15.6" x14ac:dyDescent="0.3">
      <c r="B12" s="8"/>
      <c r="C12" s="8"/>
      <c r="D12" s="8"/>
      <c r="E12" s="8"/>
      <c r="F12" s="8"/>
    </row>
    <row r="13" spans="2:6" ht="31.8" thickBot="1" x14ac:dyDescent="0.35">
      <c r="B13" s="8"/>
      <c r="C13" s="9" t="s">
        <v>5</v>
      </c>
      <c r="D13" s="9" t="s">
        <v>6</v>
      </c>
      <c r="E13" s="9" t="s">
        <v>7</v>
      </c>
      <c r="F13" s="9" t="s">
        <v>8</v>
      </c>
    </row>
    <row r="14" spans="2:6" ht="16.2" thickBot="1" x14ac:dyDescent="0.35">
      <c r="B14" s="8"/>
      <c r="C14" s="16">
        <v>18</v>
      </c>
      <c r="D14" s="2">
        <v>21</v>
      </c>
      <c r="E14" s="2">
        <v>26</v>
      </c>
      <c r="F14" s="2">
        <v>26</v>
      </c>
    </row>
    <row r="15" spans="2:6" ht="16.2" thickBot="1" x14ac:dyDescent="0.35">
      <c r="B15" s="8"/>
      <c r="C15" s="8"/>
      <c r="D15" s="8"/>
      <c r="E15" s="8"/>
      <c r="F15" s="8"/>
    </row>
    <row r="16" spans="2:6" ht="16.2" thickBot="1" x14ac:dyDescent="0.35">
      <c r="B16" s="10" t="s">
        <v>4</v>
      </c>
      <c r="C16" s="13" t="s">
        <v>15</v>
      </c>
      <c r="D16" s="13"/>
      <c r="E16" s="13"/>
      <c r="F16" s="13"/>
    </row>
    <row r="17" spans="2:6" ht="16.2" thickBot="1" x14ac:dyDescent="0.35">
      <c r="B17" s="11" t="s">
        <v>12</v>
      </c>
      <c r="C17" s="14">
        <f>(C14+D14+E14+F14)/4</f>
        <v>22.75</v>
      </c>
      <c r="D17" s="14"/>
      <c r="E17" s="14"/>
      <c r="F17" s="14"/>
    </row>
    <row r="18" spans="2:6" ht="16.2" thickBot="1" x14ac:dyDescent="0.35">
      <c r="B18" s="11" t="s">
        <v>13</v>
      </c>
      <c r="C18" s="15">
        <f>SQRT(((C14-C17)^2+(D14-C17)^2+(E14-C17)^2+(F14-C17)^2)/3)</f>
        <v>3.9475730941090039</v>
      </c>
      <c r="D18" s="15"/>
      <c r="E18" s="15"/>
      <c r="F18" s="15"/>
    </row>
    <row r="19" spans="2:6" ht="16.2" thickBot="1" x14ac:dyDescent="0.35">
      <c r="B19" s="11" t="s">
        <v>14</v>
      </c>
      <c r="C19" s="15">
        <f>(C18/C17)*100</f>
        <v>17.351969644435183</v>
      </c>
      <c r="D19" s="15"/>
      <c r="E19" s="15"/>
      <c r="F19" s="15"/>
    </row>
  </sheetData>
  <mergeCells count="4">
    <mergeCell ref="C16:F16"/>
    <mergeCell ref="C17:F17"/>
    <mergeCell ref="C18:F18"/>
    <mergeCell ref="C19:F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Navas Rivera</dc:creator>
  <cp:lastModifiedBy>Rafael Navas Rivera</cp:lastModifiedBy>
  <dcterms:created xsi:type="dcterms:W3CDTF">2025-08-29T21:34:16Z</dcterms:created>
  <dcterms:modified xsi:type="dcterms:W3CDTF">2025-09-01T03:19:26Z</dcterms:modified>
</cp:coreProperties>
</file>